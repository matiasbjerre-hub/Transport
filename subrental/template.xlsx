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name="Calculation" sheetId="1" state="visible" r:id="rId1"/>
    <sheet name="Others" sheetId="2" state="visible" r:id="rId2"/>
  </sheets>
  <definedNames>
    <definedName name="_xlnm.Print_Area" localSheetId="0">'Calculation'!$A$4:$F$31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000"/>
    <numFmt numFmtId="165" formatCode="#,##0.00\ [$€-407]"/>
    <numFmt numFmtId="166" formatCode="_-* #,##0.00\ &quot;€&quot;_-;\-* #,##0.00\ &quot;€&quot;_-;_-* &quot;-&quot;??\ &quot;€&quot;_-;_-@_-"/>
    <numFmt numFmtId="167" formatCode="&quot;(&quot;0.00\ &quot;€&quot;\ &quot;brutto)&quot;"/>
    <numFmt numFmtId="168" formatCode="0.00\ &quot;kg&quot;"/>
    <numFmt numFmtId="169" formatCode="0.0000\ &quot;m³&quot;"/>
    <numFmt numFmtId="170" formatCode="0.0%"/>
    <numFmt numFmtId="171" formatCode="[$-F800]dddd\,\ mmmm\ dd\,\ yyyy"/>
    <numFmt numFmtId="172" formatCode="_-* #,##0.00\ [$CHF]_-;\-* #,##0.00\ [$CHF]_-;_-* &quot;-&quot;??\ [$CHF]_-;_-@_-"/>
    <numFmt numFmtId="173" formatCode="_-* #,##0.00\ [$DKK]_-;\-* #,##0.00\ [$DKK]_-;_-* &quot;-&quot;??\ [$DKK]_-;_-@_-"/>
    <numFmt numFmtId="174" formatCode="[$-409]dddd\,\ mmmm\ dd\,\ yyyy"/>
  </numFmts>
  <fonts count="2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  <u val="single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indexed="23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b val="1"/>
      <color indexed="1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indexed="55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i val="1"/>
      <sz val="10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indexed="8"/>
      <sz val="11"/>
      <scheme val="minor"/>
    </font>
    <font>
      <name val="Arial"/>
      <family val="2"/>
      <sz val="10"/>
    </font>
    <font>
      <name val="Calibri"/>
      <family val="2"/>
      <sz val="11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</fonts>
  <fills count="8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8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2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theme="2"/>
      </left>
      <right style="thin">
        <color theme="2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theme="2"/>
      </right>
      <top/>
      <bottom style="double">
        <color indexed="64"/>
      </bottom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6" fontId="18" fillId="0" borderId="0"/>
    <xf numFmtId="0" fontId="4" fillId="0" borderId="0" applyAlignment="1" applyProtection="1">
      <alignment vertical="top"/>
      <protection locked="0" hidden="0"/>
    </xf>
    <xf numFmtId="0" fontId="18" fillId="0" borderId="0"/>
    <xf numFmtId="0" fontId="2" fillId="0" borderId="0"/>
    <xf numFmtId="9" fontId="18" fillId="0" borderId="0"/>
  </cellStyleXfs>
  <cellXfs count="92">
    <xf numFmtId="0" fontId="0" fillId="0" borderId="0" pivotButton="0" quotePrefix="0" xfId="0"/>
    <xf numFmtId="14" fontId="0" fillId="0" borderId="0" pivotButton="0" quotePrefix="0" xfId="0"/>
    <xf numFmtId="0" fontId="4" fillId="0" borderId="0" pivotButton="0" quotePrefix="0" xfId="2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14" fontId="6" fillId="0" borderId="0" pivotButton="0" quotePrefix="0" xfId="0"/>
    <xf numFmtId="165" fontId="6" fillId="0" borderId="0" pivotButton="0" quotePrefix="0" xfId="0"/>
    <xf numFmtId="166" fontId="6" fillId="0" borderId="0" pivotButton="0" quotePrefix="0" xfId="1"/>
    <xf numFmtId="164" fontId="8" fillId="0" borderId="0" pivotButton="0" quotePrefix="0" xfId="0"/>
    <xf numFmtId="0" fontId="8" fillId="0" borderId="0" pivotButton="0" quotePrefix="0" xfId="0"/>
    <xf numFmtId="164" fontId="10" fillId="0" borderId="0" pivotButton="0" quotePrefix="0" xfId="0"/>
    <xf numFmtId="165" fontId="8" fillId="0" borderId="0" pivotButton="0" quotePrefix="0" xfId="0"/>
    <xf numFmtId="14" fontId="9" fillId="0" borderId="0" applyAlignment="1" pivotButton="0" quotePrefix="0" xfId="0">
      <alignment horizontal="center" wrapText="1"/>
    </xf>
    <xf numFmtId="167" fontId="6" fillId="0" borderId="0" pivotButton="0" quotePrefix="0" xfId="1"/>
    <xf numFmtId="168" fontId="8" fillId="0" borderId="0" pivotButton="0" quotePrefix="0" xfId="0"/>
    <xf numFmtId="169" fontId="8" fillId="0" borderId="0" pivotButton="0" quotePrefix="0" xfId="0"/>
    <xf numFmtId="166" fontId="8" fillId="0" borderId="0" pivotButton="0" quotePrefix="0" xfId="0"/>
    <xf numFmtId="166" fontId="12" fillId="0" borderId="0" pivotButton="0" quotePrefix="0" xfId="1"/>
    <xf numFmtId="170" fontId="6" fillId="0" borderId="0" applyAlignment="1" pivotButton="0" quotePrefix="0" xfId="1">
      <alignment vertical="top"/>
    </xf>
    <xf numFmtId="0" fontId="3" fillId="0" borderId="0" pivotButton="0" quotePrefix="0" xfId="0"/>
    <xf numFmtId="0" fontId="14" fillId="3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right"/>
    </xf>
    <xf numFmtId="171" fontId="15" fillId="0" borderId="0" applyAlignment="1" pivotButton="0" quotePrefix="0" xfId="0">
      <alignment horizontal="center"/>
    </xf>
    <xf numFmtId="2" fontId="6" fillId="0" borderId="0" applyAlignment="1" pivotButton="0" quotePrefix="0" xfId="0">
      <alignment vertical="top"/>
    </xf>
    <xf numFmtId="0" fontId="7" fillId="0" borderId="4" applyAlignment="1" pivotButton="0" quotePrefix="0" xfId="0">
      <alignment horizontal="center"/>
    </xf>
    <xf numFmtId="2" fontId="6" fillId="0" borderId="0" applyAlignment="1" pivotButton="0" quotePrefix="0" xfId="0">
      <alignment vertical="top" wrapText="1"/>
    </xf>
    <xf numFmtId="170" fontId="6" fillId="0" borderId="0" pivotButton="0" quotePrefix="0" xfId="0"/>
    <xf numFmtId="172" fontId="6" fillId="0" borderId="0" pivotButton="0" quotePrefix="0" xfId="0"/>
    <xf numFmtId="0" fontId="6" fillId="0" borderId="2" applyAlignment="1" pivotButton="0" quotePrefix="0" xfId="0">
      <alignment vertical="top"/>
    </xf>
    <xf numFmtId="14" fontId="6" fillId="0" borderId="0" applyAlignment="1" pivotButton="0" quotePrefix="0" xfId="0">
      <alignment vertical="top" wrapText="1"/>
    </xf>
    <xf numFmtId="173" fontId="6" fillId="0" borderId="0" applyAlignment="1" pivotButton="0" quotePrefix="0" xfId="1">
      <alignment vertical="top"/>
    </xf>
    <xf numFmtId="173" fontId="7" fillId="0" borderId="0" pivotButton="0" quotePrefix="0" xfId="0"/>
    <xf numFmtId="0" fontId="1" fillId="0" borderId="0" applyAlignment="1" pivotButton="0" quotePrefix="0" xfId="1">
      <alignment horizontal="left"/>
    </xf>
    <xf numFmtId="0" fontId="7" fillId="0" borderId="10" applyAlignment="1" pivotButton="0" quotePrefix="0" xfId="0">
      <alignment horizontal="center" vertical="center"/>
    </xf>
    <xf numFmtId="14" fontId="7" fillId="0" borderId="10" applyAlignment="1" pivotButton="0" quotePrefix="0" xfId="0">
      <alignment horizontal="center" wrapText="1"/>
    </xf>
    <xf numFmtId="173" fontId="6" fillId="0" borderId="0" applyAlignment="1" pivotButton="0" quotePrefix="0" xfId="0">
      <alignment horizontal="center"/>
    </xf>
    <xf numFmtId="0" fontId="6" fillId="3" borderId="11" applyAlignment="1" pivotButton="0" quotePrefix="0" xfId="0">
      <alignment vertical="top"/>
    </xf>
    <xf numFmtId="0" fontId="6" fillId="0" borderId="12" applyAlignment="1" pivotButton="0" quotePrefix="0" xfId="0">
      <alignment vertical="top" wrapText="1"/>
    </xf>
    <xf numFmtId="170" fontId="6" fillId="0" borderId="12" applyAlignment="1" pivotButton="0" quotePrefix="0" xfId="1">
      <alignment vertical="top"/>
    </xf>
    <xf numFmtId="173" fontId="6" fillId="0" borderId="13" applyAlignment="1" pivotButton="0" quotePrefix="0" xfId="1">
      <alignment vertical="top"/>
    </xf>
    <xf numFmtId="0" fontId="7" fillId="0" borderId="14" pivotButton="0" quotePrefix="0" xfId="0"/>
    <xf numFmtId="14" fontId="6" fillId="0" borderId="0" applyAlignment="1" pivotButton="0" quotePrefix="0" xfId="0">
      <alignment wrapText="1"/>
    </xf>
    <xf numFmtId="9" fontId="6" fillId="0" borderId="0" applyAlignment="1" pivotButton="0" quotePrefix="0" xfId="5">
      <alignment horizontal="center" wrapText="1"/>
    </xf>
    <xf numFmtId="173" fontId="6" fillId="0" borderId="12" applyAlignment="1" pivotButton="0" quotePrefix="0" xfId="1">
      <alignment vertical="top"/>
    </xf>
    <xf numFmtId="0" fontId="6" fillId="0" borderId="0" applyAlignment="1" pivotButton="0" quotePrefix="0" xfId="0">
      <alignment horizontal="center" vertical="center" wrapText="1"/>
    </xf>
    <xf numFmtId="168" fontId="1" fillId="0" borderId="0" pivotButton="0" quotePrefix="0" xfId="0"/>
    <xf numFmtId="164" fontId="1" fillId="0" borderId="0" pivotButton="0" quotePrefix="0" xfId="0"/>
    <xf numFmtId="0" fontId="19" fillId="6" borderId="2" applyAlignment="1" pivotButton="0" quotePrefix="0" xfId="0">
      <alignment horizontal="center" vertical="top"/>
    </xf>
    <xf numFmtId="0" fontId="19" fillId="6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74" fontId="6" fillId="3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6" fillId="0" borderId="2" applyAlignment="1" pivotButton="0" quotePrefix="0" xfId="1">
      <alignment horizontal="center" vertical="top"/>
    </xf>
    <xf numFmtId="0" fontId="6" fillId="3" borderId="1" applyAlignment="1" pivotButton="0" quotePrefix="0" xfId="1">
      <alignment horizontal="center" vertical="top"/>
    </xf>
    <xf numFmtId="2" fontId="1" fillId="3" borderId="1" pivotButton="0" quotePrefix="0" xfId="0"/>
    <xf numFmtId="10" fontId="1" fillId="4" borderId="1" pivotButton="0" quotePrefix="0" xfId="0"/>
    <xf numFmtId="4" fontId="11" fillId="2" borderId="1" pivotButton="0" quotePrefix="0" xfId="0"/>
    <xf numFmtId="164" fontId="11" fillId="5" borderId="1" pivotButton="0" quotePrefix="0" xfId="0"/>
    <xf numFmtId="0" fontId="7" fillId="0" borderId="17" pivotButton="0" quotePrefix="0" xfId="0"/>
    <xf numFmtId="14" fontId="13" fillId="0" borderId="17" pivotButton="0" quotePrefix="0" xfId="0"/>
    <xf numFmtId="164" fontId="17" fillId="0" borderId="17" pivotButton="0" quotePrefix="0" xfId="0"/>
    <xf numFmtId="0" fontId="6" fillId="7" borderId="1" pivotButton="0" quotePrefix="0" xfId="0"/>
    <xf numFmtId="14" fontId="7" fillId="0" borderId="6" applyAlignment="1" pivotButton="0" quotePrefix="0" xfId="0">
      <alignment horizontal="center"/>
    </xf>
    <xf numFmtId="0" fontId="0" fillId="0" borderId="6" pivotButton="0" quotePrefix="0" xfId="0"/>
    <xf numFmtId="0" fontId="7" fillId="0" borderId="0" applyAlignment="1" pivotButton="0" quotePrefix="0" xfId="0">
      <alignment horizontal="right"/>
    </xf>
    <xf numFmtId="0" fontId="6" fillId="0" borderId="0" pivotButton="0" quotePrefix="0" xfId="0"/>
    <xf numFmtId="0" fontId="1" fillId="0" borderId="7" applyAlignment="1" pivotButton="0" quotePrefix="0" xfId="1">
      <alignment horizontal="left" wrapText="1"/>
    </xf>
    <xf numFmtId="0" fontId="0" fillId="0" borderId="8" pivotButton="0" quotePrefix="0" xfId="0"/>
    <xf numFmtId="0" fontId="0" fillId="0" borderId="9" pivotButton="0" quotePrefix="0" xfId="0"/>
    <xf numFmtId="0" fontId="7" fillId="0" borderId="6" applyAlignment="1" pivotButton="0" quotePrefix="0" xfId="0">
      <alignment horizontal="center"/>
    </xf>
    <xf numFmtId="166" fontId="1" fillId="0" borderId="18" applyAlignment="1" pivotButton="0" quotePrefix="0" xfId="1">
      <alignment horizontal="left"/>
    </xf>
    <xf numFmtId="166" fontId="1" fillId="0" borderId="7" applyAlignment="1" pivotButton="0" quotePrefix="0" xfId="1">
      <alignment horizontal="left"/>
    </xf>
    <xf numFmtId="0" fontId="1" fillId="0" borderId="18" applyAlignment="1" pivotButton="0" quotePrefix="0" xfId="1">
      <alignment horizontal="left"/>
    </xf>
    <xf numFmtId="0" fontId="1" fillId="0" borderId="7" applyAlignment="1" pivotButton="0" quotePrefix="0" xfId="1">
      <alignment horizontal="left"/>
    </xf>
    <xf numFmtId="0" fontId="20" fillId="0" borderId="15" applyAlignment="1" pivotButton="0" quotePrefix="0" xfId="0">
      <alignment horizontal="left" vertical="center" wrapText="1"/>
    </xf>
    <xf numFmtId="0" fontId="20" fillId="0" borderId="8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center" wrapText="1"/>
    </xf>
    <xf numFmtId="0" fontId="20" fillId="0" borderId="9" applyAlignment="1" pivotButton="0" quotePrefix="0" xfId="0">
      <alignment horizontal="left" vertical="center" wrapText="1"/>
    </xf>
    <xf numFmtId="166" fontId="1" fillId="0" borderId="1" applyAlignment="1" pivotButton="0" quotePrefix="0" xfId="1">
      <alignment horizontal="left"/>
    </xf>
    <xf numFmtId="0" fontId="0" fillId="0" borderId="7" pivotButton="0" quotePrefix="0" xfId="0"/>
    <xf numFmtId="0" fontId="20" fillId="0" borderId="1" applyAlignment="1" pivotButton="0" quotePrefix="0" xfId="0">
      <alignment horizontal="left" vertical="center" wrapText="1"/>
    </xf>
    <xf numFmtId="0" fontId="0" fillId="0" borderId="16" pivotButton="0" quotePrefix="0" xfId="0"/>
    <xf numFmtId="0" fontId="1" fillId="0" borderId="1" applyAlignment="1" pivotButton="0" quotePrefix="0" xfId="1">
      <alignment horizontal="left"/>
    </xf>
  </cellXfs>
  <cellStyles count="6">
    <cellStyle name="Normal" xfId="0" builtinId="0"/>
    <cellStyle name="Euro" xfId="1"/>
    <cellStyle name="Link" xfId="2" builtinId="8"/>
    <cellStyle name="Standard 5" xfId="3"/>
    <cellStyle name="Standard 2" xfId="4"/>
    <cellStyle name="Procent" xfId="5" builtinId="5"/>
  </cellStyles>
  <dxfs count="3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le1" displayName="Tabelle1" ref="A1:A7" headerRowCount="1" totalsRowShown="0" headerRowDxfId="2" dataDxfId="1">
  <autoFilter ref="A1:A7"/>
  <tableColumns count="1">
    <tableColumn id="1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R46"/>
  <sheetViews>
    <sheetView tabSelected="1" zoomScale="111" zoomScaleNormal="111" workbookViewId="0">
      <selection activeCell="C14" sqref="C14"/>
    </sheetView>
  </sheetViews>
  <sheetFormatPr baseColWidth="10" defaultColWidth="11.5" defaultRowHeight="15"/>
  <cols>
    <col width="9.1640625" customWidth="1" style="4" min="1" max="1"/>
    <col width="13.5" customWidth="1" style="74" min="2" max="2"/>
    <col width="51.1640625" customWidth="1" style="74" min="3" max="3"/>
    <col width="19" customWidth="1" style="74" min="4" max="4"/>
    <col width="8.83203125" customWidth="1" style="74" min="5" max="5"/>
    <col width="23" customWidth="1" style="74" min="6" max="6"/>
    <col width="2.33203125" customWidth="1" style="74" min="7" max="7"/>
    <col width="16.5" customWidth="1" style="74" min="8" max="8"/>
    <col width="17.33203125" bestFit="1" customWidth="1" style="7" min="9" max="9"/>
    <col width="15" customWidth="1" style="7" min="10" max="10"/>
    <col width="11.33203125" customWidth="1" style="8" min="11" max="11"/>
    <col width="13" customWidth="1" style="8" min="12" max="12"/>
    <col width="13" customWidth="1" style="5" min="13" max="13"/>
    <col width="15.1640625" bestFit="1" customWidth="1" style="9" min="14" max="14"/>
    <col width="18.33203125" bestFit="1" customWidth="1" style="74" min="15" max="15"/>
    <col width="13.1640625" customWidth="1" style="74" min="16" max="16"/>
    <col width="14" customWidth="1" style="74" min="17" max="17"/>
    <col width="20.33203125" bestFit="1" customWidth="1" style="10" min="18" max="18"/>
    <col width="11.5" customWidth="1" style="74" min="19" max="19"/>
    <col width="11.5" customWidth="1" style="74" min="20" max="16384"/>
  </cols>
  <sheetData>
    <row r="1">
      <c r="C1" s="23" t="inlineStr">
        <is>
          <t>To be filled out by Sales</t>
        </is>
      </c>
    </row>
    <row r="2" ht="14.75" customHeight="1"/>
    <row r="3" ht="15.75" customHeight="1">
      <c r="A3" s="60" t="n"/>
      <c r="H3" s="78" t="inlineStr">
        <is>
          <t>Calculation for subrental:</t>
        </is>
      </c>
      <c r="I3" s="72" t="n"/>
      <c r="J3" s="71" t="inlineStr">
        <is>
          <t>Priorities in subrental:</t>
        </is>
      </c>
      <c r="K3" s="72" t="n"/>
    </row>
    <row r="4" ht="30" customHeight="1">
      <c r="A4" s="48" t="n"/>
      <c r="B4" s="48" t="inlineStr">
        <is>
          <t>Warehouse + Order no.</t>
        </is>
      </c>
      <c r="C4" s="59" t="inlineStr">
        <is>
          <t xml:space="preserve">CPH </t>
        </is>
      </c>
      <c r="G4" s="36" t="n"/>
      <c r="H4" s="87" t="inlineStr">
        <is>
          <t>1 week = 1 x days = factor 1,0</t>
        </is>
      </c>
      <c r="I4" s="88" t="n"/>
      <c r="J4" s="75" t="inlineStr">
        <is>
          <t>1st priority: Hamburg
2nd priority: Hanover, Bocholt, Berlin</t>
        </is>
      </c>
      <c r="K4" s="76" t="n"/>
    </row>
    <row r="5" ht="27" customHeight="1">
      <c r="B5" s="4" t="inlineStr">
        <is>
          <t>Start date</t>
        </is>
      </c>
      <c r="C5" s="59" t="n"/>
      <c r="D5" s="89" t="inlineStr">
        <is>
          <t xml:space="preserve">Wednesday to Wednesday
(in some cases it could be other dates) on which the subrental starts/ends </t>
        </is>
      </c>
      <c r="E5" s="76" t="n"/>
      <c r="G5" s="36" t="n"/>
      <c r="H5" s="87" t="inlineStr">
        <is>
          <t>2 weeks = 3 x days = factor 1,4</t>
        </is>
      </c>
      <c r="I5" s="88" t="n"/>
      <c r="J5" s="72" t="n"/>
      <c r="K5" s="77" t="n"/>
    </row>
    <row r="6" ht="35.75" customHeight="1">
      <c r="B6" s="4" t="inlineStr">
        <is>
          <t>End date</t>
        </is>
      </c>
      <c r="C6" s="59" t="n"/>
      <c r="D6" s="90" t="n"/>
      <c r="E6" s="77" t="n"/>
      <c r="G6" s="36" t="n"/>
      <c r="H6" s="87" t="inlineStr">
        <is>
          <t>3 weeks = 7 x days = factor 2,0</t>
        </is>
      </c>
      <c r="I6" s="88" t="n"/>
      <c r="J6" s="45" t="n"/>
      <c r="K6" s="33" t="n"/>
      <c r="L6" s="33" t="n"/>
      <c r="M6" s="14" t="n"/>
      <c r="R6" s="74" t="n"/>
    </row>
    <row r="7">
      <c r="B7" s="4" t="n"/>
      <c r="C7" s="26" t="n"/>
      <c r="D7" s="15" t="n"/>
      <c r="G7" s="36" t="n"/>
      <c r="H7" s="87" t="inlineStr">
        <is>
          <t>4 weeks = 10 x days = factor 2,45</t>
        </is>
      </c>
      <c r="I7" s="88" t="n"/>
      <c r="J7" s="29" t="n"/>
      <c r="K7" s="27" t="n"/>
      <c r="L7" s="27" t="n"/>
      <c r="M7" s="14" t="n"/>
      <c r="R7" s="74" t="n"/>
    </row>
    <row r="8" ht="16" customHeight="1">
      <c r="B8" s="37" t="n"/>
      <c r="C8" s="37" t="n"/>
      <c r="D8" s="38" t="n"/>
      <c r="G8" s="36" t="n"/>
      <c r="H8" s="87" t="inlineStr">
        <is>
          <t>5 weeks = 14 x days = factor 3,05</t>
        </is>
      </c>
      <c r="I8" s="88" t="n"/>
      <c r="J8" s="29" t="n"/>
      <c r="K8" s="27" t="n"/>
      <c r="L8" s="27" t="n"/>
      <c r="M8" s="14" t="n"/>
      <c r="R8" s="74" t="n"/>
    </row>
    <row r="9">
      <c r="B9" s="37" t="n"/>
      <c r="C9" s="39" t="n"/>
      <c r="D9" s="46" t="n"/>
      <c r="G9" s="36" t="n"/>
      <c r="H9" s="91" t="inlineStr">
        <is>
          <t xml:space="preserve"> 6 weeks = 17 x days = factor 3,50</t>
        </is>
      </c>
      <c r="I9" s="88" t="n"/>
      <c r="J9" s="29" t="n"/>
      <c r="K9" s="27" t="n"/>
      <c r="L9" s="27" t="n"/>
      <c r="M9" s="14" t="n"/>
      <c r="R9" s="74" t="n"/>
    </row>
    <row r="10">
      <c r="I10" s="13" t="n"/>
      <c r="J10" s="13" t="n"/>
      <c r="K10" s="5" t="n"/>
      <c r="L10" s="14" t="n"/>
      <c r="M10" s="11" t="n"/>
      <c r="R10" s="74" t="n"/>
    </row>
    <row r="11" ht="16" customHeight="1" thickBot="1">
      <c r="A11" s="53" t="inlineStr">
        <is>
          <t>Art.Nr.</t>
        </is>
      </c>
      <c r="B11" s="57" t="inlineStr">
        <is>
          <t>Amount</t>
        </is>
      </c>
      <c r="C11" s="28" t="inlineStr">
        <is>
          <t>Description</t>
        </is>
      </c>
      <c r="D11" s="28" t="inlineStr">
        <is>
          <t>Price</t>
        </is>
      </c>
      <c r="E11" s="28" t="inlineStr">
        <is>
          <t>Discount</t>
        </is>
      </c>
      <c r="F11" s="58" t="inlineStr">
        <is>
          <t>Total</t>
        </is>
      </c>
      <c r="G11" s="44" t="n"/>
      <c r="H11" s="67" t="inlineStr">
        <is>
          <t>Rental days</t>
        </is>
      </c>
      <c r="I11" s="67" t="inlineStr">
        <is>
          <t>Location</t>
        </is>
      </c>
      <c r="J11" s="67" t="inlineStr">
        <is>
          <t>Rental factor in %</t>
        </is>
      </c>
      <c r="K11" s="68" t="inlineStr">
        <is>
          <t>Weight in kg</t>
        </is>
      </c>
      <c r="L11" s="69" t="inlineStr">
        <is>
          <t>Volume in m³</t>
        </is>
      </c>
      <c r="M11" s="69" t="inlineStr">
        <is>
          <t>Setup Cost DKK</t>
        </is>
      </c>
      <c r="R11" s="74" t="n"/>
    </row>
    <row r="12" ht="14.25" customHeight="1">
      <c r="A12" s="52" t="n"/>
      <c r="B12" s="51" t="n"/>
      <c r="C12" s="24" t="n"/>
      <c r="D12" s="34" t="n"/>
      <c r="E12" s="21" t="n">
        <v>0.25</v>
      </c>
      <c r="F12" s="34">
        <f>IF(OR(A12="",A12=0),0,IF(OR(E12="",E12=0),(B12*D12),(B12*D12)*(1-E12)))</f>
        <v/>
      </c>
      <c r="G12" s="34" t="n"/>
      <c r="H12" s="62" t="n"/>
      <c r="I12" s="63" t="n"/>
      <c r="J12" s="64">
        <f>IF(H12=2,1.25,IF(H12&gt;2,((H12-2)*0.15)+1.25,H12))</f>
        <v/>
      </c>
      <c r="K12" s="65" t="n"/>
      <c r="L12" s="66" t="n"/>
      <c r="M12" s="70" t="n"/>
      <c r="R12" s="74" t="n"/>
    </row>
    <row r="13" ht="14.25" customHeight="1">
      <c r="A13" s="54" t="n"/>
      <c r="B13" s="54" t="n"/>
      <c r="C13" s="24" t="n"/>
      <c r="D13" s="34" t="n"/>
      <c r="E13" s="21" t="n">
        <v>0.25</v>
      </c>
      <c r="F13" s="34">
        <f>IF(OR(A13="",A13=0),0,IF(OR(E13="",E13=0),(B13*D13),(B13*D13)*(1-E13)))</f>
        <v/>
      </c>
      <c r="G13" s="34" t="n"/>
      <c r="H13" s="62" t="n"/>
      <c r="I13" s="63" t="n"/>
      <c r="J13" s="64">
        <f>IF(H13=2,1.25,IF(H13&gt;2,((H13-2)*0.15)+1.25,H13))</f>
        <v/>
      </c>
      <c r="K13" s="65" t="n"/>
      <c r="L13" s="66" t="n"/>
      <c r="M13" s="70" t="n"/>
      <c r="R13" s="74" t="n"/>
    </row>
    <row r="14" ht="14.25" customHeight="1">
      <c r="A14" s="54" t="n"/>
      <c r="B14" s="54" t="n"/>
      <c r="C14" s="24" t="n"/>
      <c r="D14" s="34" t="n"/>
      <c r="E14" s="21" t="n">
        <v>0.25</v>
      </c>
      <c r="F14" s="34">
        <f>IF(OR(A14="",A14=0),0,IF(OR(E14="",E14=0),(B14*D14),(B14*D14)*(1-E14)))</f>
        <v/>
      </c>
      <c r="G14" s="34" t="n"/>
      <c r="H14" s="62" t="n"/>
      <c r="I14" s="63" t="n"/>
      <c r="J14" s="64">
        <f>IF(H14=2,1.25,IF(H14&gt;2,((H14-2)*0.15)+1.25,H14))</f>
        <v/>
      </c>
      <c r="K14" s="65" t="n"/>
      <c r="L14" s="66" t="n"/>
      <c r="M14" s="70" t="n"/>
      <c r="R14" s="74" t="n"/>
    </row>
    <row r="15" ht="14.25" customHeight="1">
      <c r="A15" s="54" t="n"/>
      <c r="B15" s="54" t="n"/>
      <c r="C15" s="24" t="n"/>
      <c r="D15" s="34" t="n"/>
      <c r="E15" s="21" t="n">
        <v>0.25</v>
      </c>
      <c r="F15" s="34">
        <f>IF(OR(A15="",A15=0),0,IF(OR(E15="",E15=0),(B15*D15),(B15*D15)*(1-E15)))</f>
        <v/>
      </c>
      <c r="G15" s="34" t="n"/>
      <c r="H15" s="62" t="n"/>
      <c r="I15" s="63" t="n"/>
      <c r="J15" s="64">
        <f>IF(H15=2,1.25,IF(H15&gt;2,((H15-2)*0.15)+1.25,H15))</f>
        <v/>
      </c>
      <c r="K15" s="65" t="n"/>
      <c r="L15" s="66" t="n"/>
      <c r="M15" s="70" t="n"/>
      <c r="R15" s="74" t="n"/>
    </row>
    <row r="16" ht="14.25" customHeight="1">
      <c r="A16" s="54" t="n"/>
      <c r="B16" s="54" t="n"/>
      <c r="C16" s="24" t="n"/>
      <c r="D16" s="34" t="n"/>
      <c r="E16" s="21" t="n">
        <v>0.25</v>
      </c>
      <c r="F16" s="34">
        <f>IF(OR(A16="",A16=0),0,IF(OR(E16="",E16=0),(B16*D16),(B16*D16)*(1-E16)))</f>
        <v/>
      </c>
      <c r="G16" s="34" t="n"/>
      <c r="H16" s="62" t="n"/>
      <c r="I16" s="63" t="n"/>
      <c r="J16" s="64">
        <f>IF(H16=2,1.25,IF(H16&gt;2,((H16-2)*0.15)+1.25,H16))</f>
        <v/>
      </c>
      <c r="K16" s="65" t="n"/>
      <c r="L16" s="66" t="n"/>
      <c r="M16" s="70" t="n"/>
      <c r="N16" s="74" t="n"/>
      <c r="R16" s="74" t="n"/>
    </row>
    <row r="17" ht="14.25" customHeight="1">
      <c r="A17" s="54" t="n"/>
      <c r="B17" s="54" t="n"/>
      <c r="C17" s="24" t="n"/>
      <c r="D17" s="34" t="n"/>
      <c r="E17" s="21" t="n">
        <v>0.25</v>
      </c>
      <c r="F17" s="34">
        <f>IF(OR(A17="",A17=0),0,IF(OR(E17="",E17=0),(B17*D17),(B17*D17)*(1-E17)))</f>
        <v/>
      </c>
      <c r="G17" s="34" t="n"/>
      <c r="H17" s="62" t="n"/>
      <c r="I17" s="63" t="n"/>
      <c r="J17" s="64">
        <f>IF(H17=2,1.25,IF(H17&gt;2,((H17-2)*0.15)+1.25,H17))</f>
        <v/>
      </c>
      <c r="K17" s="65" t="n"/>
      <c r="L17" s="66" t="n"/>
      <c r="M17" s="70" t="n"/>
      <c r="N17" s="74" t="n"/>
      <c r="R17" s="74" t="n"/>
    </row>
    <row r="18" ht="14.25" customHeight="1">
      <c r="A18" s="54" t="n"/>
      <c r="B18" s="54" t="n"/>
      <c r="C18" s="24" t="n"/>
      <c r="D18" s="34" t="n"/>
      <c r="E18" s="21" t="n">
        <v>0.25</v>
      </c>
      <c r="F18" s="34">
        <f>IF(OR(A18="",A18=0),0,IF(OR(E18="",E18=0),(B18*D18),(B18*D18)*(1-E18)))</f>
        <v/>
      </c>
      <c r="G18" s="34" t="n"/>
      <c r="H18" s="62" t="n"/>
      <c r="I18" s="63" t="n"/>
      <c r="J18" s="64">
        <f>IF(H18=2,1.25,IF(H18&gt;2,((H18-2)*0.15)+1.25,H18))</f>
        <v/>
      </c>
      <c r="K18" s="65" t="n"/>
      <c r="L18" s="66" t="n"/>
      <c r="M18" s="70" t="n"/>
      <c r="N18" s="74" t="n"/>
      <c r="R18" s="74" t="n"/>
    </row>
    <row r="19" ht="14.25" customHeight="1">
      <c r="A19" s="54" t="n"/>
      <c r="B19" s="54" t="n"/>
      <c r="C19" s="24" t="n"/>
      <c r="D19" s="34" t="n"/>
      <c r="E19" s="21" t="n">
        <v>0.25</v>
      </c>
      <c r="F19" s="34">
        <f>IF(OR(A19="",A19=0),0,IF(OR(E19="",E19=0),(B19*D19),(B19*D19)*(1-E19)))</f>
        <v/>
      </c>
      <c r="G19" s="34" t="n"/>
      <c r="H19" s="62" t="n"/>
      <c r="I19" s="63" t="n"/>
      <c r="J19" s="64">
        <f>IF(H19=2,1.25,IF(H19&gt;2,((H19-2)*0.15)+1.25,H19))</f>
        <v/>
      </c>
      <c r="K19" s="65" t="n"/>
      <c r="L19" s="66" t="n"/>
      <c r="M19" s="70" t="n"/>
      <c r="N19" s="74" t="n"/>
      <c r="R19" s="74" t="n"/>
    </row>
    <row r="20" ht="14.25" customHeight="1">
      <c r="A20" s="54" t="n"/>
      <c r="B20" s="54" t="n"/>
      <c r="C20" s="24" t="n"/>
      <c r="D20" s="34" t="n"/>
      <c r="E20" s="21" t="n">
        <v>0.25</v>
      </c>
      <c r="F20" s="34">
        <f>IF(OR(A20="",A20=0),0,IF(OR(E20="",E20=0),(B20*D20),(B20*D20)*(1-E20)))</f>
        <v/>
      </c>
      <c r="G20" s="34" t="n"/>
      <c r="H20" s="62" t="n"/>
      <c r="I20" s="63" t="n"/>
      <c r="J20" s="64">
        <f>IF(H20=2,1.25,IF(H20&gt;2,((H20-2)*0.15)+1.25,H20))</f>
        <v/>
      </c>
      <c r="K20" s="65" t="n"/>
      <c r="L20" s="66" t="n"/>
      <c r="M20" s="70" t="n"/>
      <c r="N20" s="74" t="n"/>
      <c r="R20" s="74" t="n"/>
    </row>
    <row r="21" ht="14.25" customHeight="1">
      <c r="A21" s="54" t="n"/>
      <c r="B21" s="54" t="n"/>
      <c r="C21" s="24" t="n"/>
      <c r="D21" s="34" t="n"/>
      <c r="E21" s="21" t="n">
        <v>0.25</v>
      </c>
      <c r="F21" s="34">
        <f>IF(OR(A21="",A21=0),0,IF(OR(E21="",E21=0),(B21*D21),(B21*D21)*(1-E21)))</f>
        <v/>
      </c>
      <c r="G21" s="34" t="n"/>
      <c r="H21" s="62" t="n"/>
      <c r="I21" s="63" t="n"/>
      <c r="J21" s="64">
        <f>IF(H21=2,1.25,IF(H21&gt;2,((H21-2)*0.15)+1.25,H21))</f>
        <v/>
      </c>
      <c r="K21" s="65" t="n"/>
      <c r="L21" s="66" t="n"/>
      <c r="M21" s="70" t="n"/>
      <c r="N21" s="74" t="n"/>
      <c r="R21" s="74" t="n"/>
    </row>
    <row r="22" ht="14.25" customHeight="1">
      <c r="A22" s="54" t="n"/>
      <c r="B22" s="54" t="n"/>
      <c r="C22" s="24" t="n"/>
      <c r="D22" s="34" t="n"/>
      <c r="E22" s="21" t="n">
        <v>0.25</v>
      </c>
      <c r="F22" s="34">
        <f>IF(OR(A22="",A22=0),0,IF(OR(E22="",E22=0),(B22*D22),(B22*D22)*(1-E22)))</f>
        <v/>
      </c>
      <c r="G22" s="34" t="n"/>
      <c r="H22" s="62" t="n"/>
      <c r="I22" s="63" t="n"/>
      <c r="J22" s="64">
        <f>IF(H22=2,1.25,IF(H22&gt;2,((H22-2)*0.15)+1.25,H22))</f>
        <v/>
      </c>
      <c r="K22" s="65" t="n"/>
      <c r="L22" s="66" t="n"/>
      <c r="M22" s="70" t="n"/>
      <c r="N22" s="74" t="n"/>
      <c r="R22" s="74" t="n"/>
    </row>
    <row r="23" ht="14.25" customHeight="1">
      <c r="A23" s="54" t="n"/>
      <c r="B23" s="54" t="n"/>
      <c r="C23" s="24" t="n"/>
      <c r="D23" s="34" t="n"/>
      <c r="E23" s="21" t="n">
        <v>0.25</v>
      </c>
      <c r="F23" s="34">
        <f>IF(OR(A23="",A23=0),0,IF(OR(E23="",E23=0),(B23*D23),(B23*D23)*(1-E23)))</f>
        <v/>
      </c>
      <c r="G23" s="34" t="n"/>
      <c r="H23" s="62" t="n"/>
      <c r="I23" s="63" t="n"/>
      <c r="J23" s="64">
        <f>IF(H23=2,1.25,IF(H23&gt;2,((H23-2)*0.15)+1.25,H23))</f>
        <v/>
      </c>
      <c r="K23" s="65" t="n"/>
      <c r="L23" s="66" t="n"/>
      <c r="M23" s="70" t="n"/>
      <c r="N23" s="74" t="n"/>
      <c r="R23" s="74" t="n"/>
    </row>
    <row r="24" ht="14.25" customHeight="1">
      <c r="A24" s="54" t="n"/>
      <c r="B24" s="54" t="n"/>
      <c r="C24" s="24" t="n"/>
      <c r="D24" s="34" t="n"/>
      <c r="E24" s="21" t="n">
        <v>0.25</v>
      </c>
      <c r="F24" s="34">
        <f>IF(OR(A24="",A24=0),0,IF(OR(E24="",E24=0),(B24*D24),(B24*D24)*(1-E24)))</f>
        <v/>
      </c>
      <c r="G24" s="34" t="n"/>
      <c r="H24" s="62" t="n"/>
      <c r="I24" s="63" t="n"/>
      <c r="J24" s="64">
        <f>IF(H24=2,1.25,IF(H24&gt;2,((H24-2)*0.15)+1.25,H24))</f>
        <v/>
      </c>
      <c r="K24" s="65" t="n"/>
      <c r="L24" s="66" t="n"/>
      <c r="M24" s="70" t="n"/>
      <c r="N24" s="74" t="n"/>
      <c r="R24" s="74" t="n"/>
    </row>
    <row r="25" ht="14.25" customHeight="1">
      <c r="A25" s="54" t="n"/>
      <c r="B25" s="54" t="n"/>
      <c r="C25" s="24" t="n"/>
      <c r="D25" s="34" t="n"/>
      <c r="E25" s="21" t="n">
        <v>0.25</v>
      </c>
      <c r="F25" s="34">
        <f>IF(OR(A25="",A25=0),0,IF(OR(E25="",E25=0),(B25*D25),(B25*D25)*(1-E25)))</f>
        <v/>
      </c>
      <c r="G25" s="34" t="n"/>
      <c r="H25" s="62" t="n"/>
      <c r="I25" s="63" t="n"/>
      <c r="J25" s="64">
        <f>IF(H25=2,1.25,IF(H25&gt;2,((H25-2)*0.15)+1.25,H25))</f>
        <v/>
      </c>
      <c r="K25" s="65" t="n"/>
      <c r="L25" s="66" t="n"/>
      <c r="M25" s="70" t="n"/>
      <c r="N25" s="74" t="n"/>
      <c r="R25" s="74" t="n"/>
    </row>
    <row r="26" ht="14.25" customHeight="1">
      <c r="A26" s="54" t="n"/>
      <c r="B26" s="54" t="n"/>
      <c r="C26" s="24" t="n"/>
      <c r="D26" s="34" t="n"/>
      <c r="E26" s="21" t="n">
        <v>0.25</v>
      </c>
      <c r="F26" s="34">
        <f>IF(OR(A26="",A26=0),0,IF(OR(E26="",E26=0),(B26*D26),(B26*D26)*(1-E26)))</f>
        <v/>
      </c>
      <c r="G26" s="34" t="n"/>
      <c r="H26" s="62" t="n"/>
      <c r="I26" s="63" t="n"/>
      <c r="J26" s="64">
        <f>IF(H26=2,1.25,IF(H26&gt;2,((H26-2)*0.15)+1.25,H26))</f>
        <v/>
      </c>
      <c r="K26" s="65" t="n"/>
      <c r="L26" s="66" t="n"/>
      <c r="M26" s="70" t="n"/>
      <c r="N26" s="74" t="n"/>
      <c r="R26" s="74" t="n"/>
    </row>
    <row r="27" ht="14.25" customHeight="1">
      <c r="A27" s="54" t="n"/>
      <c r="B27" s="54" t="n"/>
      <c r="C27" s="24" t="n"/>
      <c r="D27" s="34" t="n"/>
      <c r="E27" s="21" t="n">
        <v>0.25</v>
      </c>
      <c r="F27" s="34">
        <f>IF(OR(A27="",A27=0),0,IF(OR(E27="",E27=0),(B27*D27),(B27*D27)*(1-E27)))</f>
        <v/>
      </c>
      <c r="G27" s="34" t="n"/>
      <c r="H27" s="62" t="n"/>
      <c r="I27" s="63" t="n"/>
      <c r="J27" s="64">
        <f>IF(H27=2,1.25,IF(H27&gt;2,((H27-2)*0.15)+1.25,H27))</f>
        <v/>
      </c>
      <c r="K27" s="65" t="n"/>
      <c r="L27" s="66" t="n"/>
      <c r="M27" s="70" t="n"/>
      <c r="N27" s="74" t="n"/>
      <c r="R27" s="74" t="n"/>
    </row>
    <row r="28" ht="14.25" customHeight="1" thickBot="1">
      <c r="A28" s="55" t="n"/>
      <c r="B28" s="40" t="n"/>
      <c r="C28" s="41" t="n"/>
      <c r="D28" s="47" t="n"/>
      <c r="E28" s="42" t="n">
        <v>0.25</v>
      </c>
      <c r="F28" s="43">
        <f>IF(OR(A28="",A28=0),0,IF(OR(E28="",E28=0),(B28*D28),(B28*D28)*(1-E28)))</f>
        <v/>
      </c>
      <c r="G28" s="34" t="n"/>
      <c r="H28" s="62" t="n"/>
      <c r="I28" s="63" t="n"/>
      <c r="J28" s="64">
        <f>IF(H28=2,1.25,IF(H28&gt;2,((H28-2)*0.15)+1.25,H28))</f>
        <v/>
      </c>
      <c r="K28" s="65" t="n"/>
      <c r="L28" s="66" t="n"/>
      <c r="M28" s="70" t="n"/>
      <c r="N28" s="74" t="n"/>
      <c r="R28" s="74" t="n"/>
    </row>
    <row r="29" ht="16" customHeight="1" thickTop="1">
      <c r="A29" s="56" t="n"/>
      <c r="B29" s="32" t="n"/>
      <c r="C29" s="73" t="inlineStr">
        <is>
          <t>Total excl. VAT</t>
        </is>
      </c>
      <c r="E29" s="73" t="n"/>
      <c r="F29" s="35">
        <f>SUM(F12:F28)</f>
        <v/>
      </c>
      <c r="G29" s="35" t="n"/>
      <c r="H29" s="61" t="n"/>
      <c r="I29" s="16" t="n"/>
      <c r="J29" s="16" t="n"/>
      <c r="K29" s="49">
        <f>SUM(K11:K28)</f>
        <v/>
      </c>
      <c r="L29" s="50">
        <f>SUM(L11:L28)</f>
        <v/>
      </c>
      <c r="M29" s="50">
        <f>SUM(M11:M28)</f>
        <v/>
      </c>
      <c r="N29" s="74" t="n"/>
      <c r="R29" s="74" t="n"/>
    </row>
    <row r="30">
      <c r="C30" s="73" t="n"/>
      <c r="D30" s="73" t="n"/>
      <c r="E30" s="30" t="n"/>
      <c r="F30" s="31" t="n"/>
      <c r="G30" s="31" t="n"/>
      <c r="I30" s="16" t="n"/>
      <c r="J30" s="16" t="n"/>
      <c r="K30" s="17" t="n"/>
      <c r="L30" s="18" t="n"/>
      <c r="M30" s="74" t="n"/>
      <c r="N30" s="74" t="n"/>
      <c r="R30" s="74" t="n"/>
    </row>
    <row r="31">
      <c r="I31" s="16" t="n"/>
      <c r="J31" s="16" t="n"/>
      <c r="L31" s="17" t="n"/>
      <c r="M31" s="18" t="n"/>
      <c r="N31" s="14" t="n"/>
      <c r="O31" s="12" t="n"/>
      <c r="P31" s="12" t="n"/>
      <c r="Q31" s="19" t="n"/>
      <c r="R31" s="20" t="n"/>
    </row>
    <row r="32">
      <c r="N32" s="74" t="n"/>
      <c r="R32" s="74" t="n"/>
    </row>
    <row r="33">
      <c r="N33" s="74" t="n"/>
      <c r="R33" s="74" t="n"/>
    </row>
    <row r="34">
      <c r="N34" s="74" t="n"/>
      <c r="R34" s="74" t="n"/>
    </row>
    <row r="35">
      <c r="R35" s="74" t="n"/>
    </row>
    <row r="36">
      <c r="N36" s="74" t="n"/>
      <c r="R36" s="74" t="n"/>
    </row>
    <row r="37">
      <c r="N37" s="74" t="n"/>
      <c r="R37" s="74" t="n"/>
    </row>
    <row r="38">
      <c r="N38" s="74" t="n"/>
      <c r="R38" s="74" t="n"/>
    </row>
    <row r="39">
      <c r="N39" s="74" t="n"/>
      <c r="R39" s="74" t="n"/>
    </row>
    <row r="40">
      <c r="N40" s="74" t="n"/>
      <c r="R40" s="74" t="n"/>
    </row>
    <row r="41">
      <c r="N41" s="74" t="n"/>
      <c r="R41" s="74" t="n"/>
    </row>
    <row r="42">
      <c r="N42" s="74" t="n"/>
      <c r="R42" s="74" t="n"/>
    </row>
    <row r="43">
      <c r="N43" s="74" t="n"/>
      <c r="R43" s="74" t="n"/>
    </row>
    <row r="44">
      <c r="N44" s="74" t="n"/>
      <c r="R44" s="74" t="n"/>
    </row>
    <row r="45">
      <c r="N45" s="74" t="n"/>
      <c r="R45" s="74" t="n"/>
    </row>
    <row r="46">
      <c r="N46" s="74" t="n"/>
      <c r="R46" s="74" t="n"/>
    </row>
  </sheetData>
  <mergeCells count="11">
    <mergeCell ref="J3:K3"/>
    <mergeCell ref="C29:D29"/>
    <mergeCell ref="H6:I6"/>
    <mergeCell ref="J4:K5"/>
    <mergeCell ref="H7:I7"/>
    <mergeCell ref="D5:E6"/>
    <mergeCell ref="H5:I5"/>
    <mergeCell ref="H4:I4"/>
    <mergeCell ref="H8:I8"/>
    <mergeCell ref="H9:I9"/>
    <mergeCell ref="H3:I3"/>
  </mergeCells>
  <pageMargins left="0.3937007874015748" right="0.3937007874015748" top="0.5905511811023623" bottom="0.3937007874015748" header="0.5118110236220472" footer="0.511811023622047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7" sqref="C7"/>
    </sheetView>
  </sheetViews>
  <sheetFormatPr baseColWidth="10" defaultColWidth="11.5" defaultRowHeight="13"/>
  <cols>
    <col width="27.83203125" customWidth="1" min="1" max="1"/>
  </cols>
  <sheetData>
    <row r="1">
      <c r="A1" s="22" t="inlineStr">
        <is>
          <t>City</t>
        </is>
      </c>
      <c r="C1" t="n">
        <v>6</v>
      </c>
    </row>
    <row r="2">
      <c r="A2" s="22" t="inlineStr">
        <is>
          <t>Hamburg (Umschlag)</t>
        </is>
      </c>
    </row>
    <row r="3">
      <c r="A3" s="22" t="inlineStr">
        <is>
          <t>Berlin (Umschlag)</t>
        </is>
      </c>
    </row>
    <row r="4">
      <c r="A4" s="22" t="inlineStr">
        <is>
          <t>Bocholt (Umschlag)</t>
        </is>
      </c>
    </row>
    <row r="5">
      <c r="A5" s="22" t="inlineStr">
        <is>
          <t>Hanover (Umschlag)</t>
        </is>
      </c>
    </row>
    <row r="6">
      <c r="A6" s="22" t="inlineStr">
        <is>
          <t>Frankfurt - Direct</t>
        </is>
      </c>
    </row>
    <row r="7">
      <c r="A7" s="22" t="inlineStr">
        <is>
          <t>Munich - Direct</t>
        </is>
      </c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Rent.Group</dc:creator>
  <cp:lastModifiedBy>Rent.Group</cp:lastModifiedBy>
</cp:coreProperties>
</file>